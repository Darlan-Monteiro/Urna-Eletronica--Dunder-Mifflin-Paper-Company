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AMSUNG\OneDrive\Área de Trabalho\"/>
    </mc:Choice>
  </mc:AlternateContent>
  <xr:revisionPtr revIDLastSave="0" documentId="13_ncr:1_{5C16B92E-6E01-4B88-88D4-AA869FAD9B03}" xr6:coauthVersionLast="47" xr6:coauthVersionMax="47" xr10:uidLastSave="{00000000-0000-0000-0000-000000000000}"/>
  <bookViews>
    <workbookView xWindow="-120" yWindow="-120" windowWidth="29040" windowHeight="15720" xr2:uid="{5D762D98-A905-4C8F-B4AF-0F4C0F8CED15}"/>
  </bookViews>
  <sheets>
    <sheet name="Candidatos" sheetId="1" r:id="rId1"/>
    <sheet name="Planilha5" sheetId="6" state="hidden" r:id="rId2"/>
    <sheet name="Votos" sheetId="3" r:id="rId3"/>
  </sheets>
  <calcPr calcId="191029"/>
  <pivotCaches>
    <pivotCache cacheId="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61" i="3" l="1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Q33" i="1"/>
  <c r="Q31" i="1"/>
  <c r="C7" i="3"/>
  <c r="C2" i="3"/>
  <c r="C3" i="3"/>
  <c r="C4" i="3"/>
  <c r="C5" i="3"/>
  <c r="C6" i="3"/>
  <c r="C7" i="1"/>
  <c r="C2" i="1"/>
  <c r="C3" i="1"/>
  <c r="C4" i="1"/>
  <c r="C5" i="1"/>
  <c r="C12" i="1"/>
  <c r="C8" i="1"/>
  <c r="C10" i="1"/>
  <c r="C6" i="1"/>
  <c r="C13" i="1"/>
  <c r="C14" i="1"/>
  <c r="C15" i="1"/>
  <c r="C16" i="1"/>
  <c r="C11" i="1"/>
  <c r="C17" i="1"/>
  <c r="C18" i="1"/>
  <c r="C9" i="1"/>
  <c r="D14" i="1" l="1"/>
  <c r="D13" i="1"/>
  <c r="D2" i="1"/>
  <c r="D11" i="1"/>
  <c r="D6" i="1"/>
  <c r="D7" i="1"/>
  <c r="D9" i="1"/>
  <c r="D17" i="1"/>
  <c r="D12" i="1"/>
  <c r="D8" i="1"/>
  <c r="D5" i="1"/>
  <c r="D4" i="1"/>
  <c r="D16" i="1"/>
  <c r="D15" i="1"/>
  <c r="D3" i="1"/>
  <c r="D10" i="1"/>
  <c r="D18" i="1"/>
  <c r="Q32" i="1"/>
  <c r="Q34" i="1" s="1"/>
</calcChain>
</file>

<file path=xl/sharedStrings.xml><?xml version="1.0" encoding="utf-8"?>
<sst xmlns="http://schemas.openxmlformats.org/spreadsheetml/2006/main" count="38" uniqueCount="36">
  <si>
    <t>Candidatos</t>
  </si>
  <si>
    <t>Votos</t>
  </si>
  <si>
    <t>Número</t>
  </si>
  <si>
    <t>Voto Computado</t>
  </si>
  <si>
    <t>Data e Hora</t>
  </si>
  <si>
    <t>Michael Scott</t>
  </si>
  <si>
    <t>Dwight Schrute</t>
  </si>
  <si>
    <t>Jim Halpert</t>
  </si>
  <si>
    <t>Pam Beesly</t>
  </si>
  <si>
    <t>Ryan Howard</t>
  </si>
  <si>
    <t>Andy Bernard</t>
  </si>
  <si>
    <t>Stanley Hudson</t>
  </si>
  <si>
    <t>Kevin Malone</t>
  </si>
  <si>
    <t>Angela Martin</t>
  </si>
  <si>
    <t>Oscar Martinez</t>
  </si>
  <si>
    <t>Phyllis Lapin</t>
  </si>
  <si>
    <t>Meredith Palmer</t>
  </si>
  <si>
    <t>Kelly Kapoor</t>
  </si>
  <si>
    <t>Toby Flenderson</t>
  </si>
  <si>
    <t>Creed Bratton</t>
  </si>
  <si>
    <t>Darryl Philbin</t>
  </si>
  <si>
    <t>BRANCO</t>
  </si>
  <si>
    <t>Em Branco</t>
  </si>
  <si>
    <t>Dunder Mifflin Paper Company</t>
  </si>
  <si>
    <t>% dos Votos</t>
  </si>
  <si>
    <t>Hora</t>
  </si>
  <si>
    <t>Rótulos de Linha</t>
  </si>
  <si>
    <t>Total Geral</t>
  </si>
  <si>
    <t>Contagem de Voto Computado</t>
  </si>
  <si>
    <t>Total de Votos</t>
  </si>
  <si>
    <t>Votos Válidos</t>
  </si>
  <si>
    <t>Votos em Branco</t>
  </si>
  <si>
    <t>Votos Nulos</t>
  </si>
  <si>
    <t>Eleição para Gerente Regional( e Assistente do Gerente Regional a Pedido do Dwight)</t>
  </si>
  <si>
    <t>Estatísticas e Análises</t>
  </si>
  <si>
    <t>Qualidade dos Votos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</si>
</sst>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2"/>
      <color theme="1"/>
      <name val="Arial"/>
      <family val="2"/>
    </font>
    <font>
      <i/>
      <sz val="2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20"/>
      <color theme="0"/>
      <name val="Impact"/>
      <family val="2"/>
    </font>
    <font>
      <b/>
      <i/>
      <sz val="12"/>
      <color theme="0"/>
      <name val="Arial"/>
      <family val="2"/>
    </font>
    <font>
      <b/>
      <i/>
      <u/>
      <sz val="20"/>
      <color theme="0"/>
      <name val="Arial"/>
      <family val="2"/>
    </font>
    <font>
      <b/>
      <u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A9A9A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0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/>
      <bottom style="thin">
        <color theme="1" tint="4.9989318521683403E-2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1" applyNumberFormat="0" applyFont="0" applyAlignment="0" applyProtection="0"/>
  </cellStyleXfs>
  <cellXfs count="5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22" fontId="0" fillId="0" borderId="4" xfId="0" applyNumberFormat="1" applyBorder="1"/>
    <xf numFmtId="0" fontId="0" fillId="0" borderId="4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7" fillId="4" borderId="0" xfId="0" applyFont="1" applyFill="1" applyBorder="1"/>
    <xf numFmtId="0" fontId="7" fillId="4" borderId="11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8" fillId="4" borderId="16" xfId="0" applyFont="1" applyFill="1" applyBorder="1"/>
    <xf numFmtId="0" fontId="7" fillId="5" borderId="17" xfId="0" applyFont="1" applyFill="1" applyBorder="1" applyAlignment="1">
      <alignment horizontal="center"/>
    </xf>
    <xf numFmtId="9" fontId="7" fillId="5" borderId="17" xfId="1" applyFont="1" applyFill="1" applyBorder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6" fillId="4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7" fillId="5" borderId="18" xfId="0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0" fontId="8" fillId="4" borderId="12" xfId="0" applyFont="1" applyFill="1" applyBorder="1"/>
    <xf numFmtId="0" fontId="8" fillId="4" borderId="15" xfId="0" applyFont="1" applyFill="1" applyBorder="1"/>
    <xf numFmtId="0" fontId="0" fillId="4" borderId="20" xfId="0" applyFill="1" applyBorder="1"/>
    <xf numFmtId="0" fontId="0" fillId="4" borderId="21" xfId="0" applyFill="1" applyBorder="1"/>
    <xf numFmtId="9" fontId="7" fillId="5" borderId="18" xfId="1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7" fillId="5" borderId="23" xfId="0" applyFont="1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7" fillId="5" borderId="20" xfId="0" applyFont="1" applyFill="1" applyBorder="1" applyAlignment="1">
      <alignment horizontal="center"/>
    </xf>
    <xf numFmtId="9" fontId="7" fillId="5" borderId="20" xfId="1" applyFont="1" applyFill="1" applyBorder="1" applyAlignment="1">
      <alignment horizontal="center"/>
    </xf>
    <xf numFmtId="0" fontId="7" fillId="5" borderId="24" xfId="0" applyFont="1" applyFill="1" applyBorder="1" applyAlignment="1">
      <alignment horizontal="center"/>
    </xf>
    <xf numFmtId="0" fontId="8" fillId="4" borderId="25" xfId="0" applyFont="1" applyFill="1" applyBorder="1"/>
    <xf numFmtId="0" fontId="4" fillId="4" borderId="0" xfId="0" applyFont="1" applyFill="1"/>
    <xf numFmtId="0" fontId="0" fillId="7" borderId="9" xfId="2" applyFont="1" applyFill="1" applyBorder="1"/>
    <xf numFmtId="0" fontId="0" fillId="3" borderId="7" xfId="2" applyFont="1" applyFill="1" applyBorder="1"/>
    <xf numFmtId="0" fontId="0" fillId="8" borderId="7" xfId="2" applyFont="1" applyFill="1" applyBorder="1"/>
    <xf numFmtId="0" fontId="0" fillId="9" borderId="7" xfId="2" applyFont="1" applyFill="1" applyBorder="1"/>
    <xf numFmtId="0" fontId="2" fillId="5" borderId="8" xfId="2" applyFont="1" applyFill="1" applyBorder="1"/>
    <xf numFmtId="0" fontId="2" fillId="5" borderId="10" xfId="2" applyFont="1" applyFill="1" applyBorder="1"/>
    <xf numFmtId="0" fontId="12" fillId="6" borderId="12" xfId="0" applyFont="1" applyFill="1" applyBorder="1"/>
    <xf numFmtId="0" fontId="7" fillId="6" borderId="19" xfId="0" applyNumberFormat="1" applyFont="1" applyFill="1" applyBorder="1" applyAlignment="1">
      <alignment horizontal="center"/>
    </xf>
    <xf numFmtId="0" fontId="7" fillId="6" borderId="17" xfId="0" applyNumberFormat="1" applyFont="1" applyFill="1" applyBorder="1" applyAlignment="1">
      <alignment horizontal="center"/>
    </xf>
    <xf numFmtId="9" fontId="7" fillId="6" borderId="17" xfId="1" applyFont="1" applyFill="1" applyBorder="1" applyAlignment="1">
      <alignment horizontal="center"/>
    </xf>
    <xf numFmtId="0" fontId="11" fillId="4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9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</cellXfs>
  <cellStyles count="3">
    <cellStyle name="Normal" xfId="0" builtinId="0"/>
    <cellStyle name="Nota" xfId="2" builtinId="10"/>
    <cellStyle name="Porcentagem" xfId="1" builtinId="5"/>
  </cellStyles>
  <dxfs count="11"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solid">
          <fgColor indexed="64"/>
          <bgColor theme="1" tint="4.9989318521683403E-2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A9A9A9"/>
      <color rgb="FF3B59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Apuração - Gerente Regional</a:t>
            </a:r>
            <a:endParaRPr lang="pt-BR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tx1">
                <a:lumMod val="95000"/>
                <a:lumOff val="5000"/>
              </a:schemeClr>
            </a:solidFill>
            <a:ln w="2857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Candidatos!$A$2:$A$18</c:f>
              <c:strCache>
                <c:ptCount val="17"/>
                <c:pt idx="0">
                  <c:v>Michael Scott</c:v>
                </c:pt>
                <c:pt idx="1">
                  <c:v>Dwight Schrute</c:v>
                </c:pt>
                <c:pt idx="2">
                  <c:v>Jim Halpert</c:v>
                </c:pt>
                <c:pt idx="3">
                  <c:v>Pam Beesly</c:v>
                </c:pt>
                <c:pt idx="4">
                  <c:v>Kevin Malone</c:v>
                </c:pt>
                <c:pt idx="5">
                  <c:v>Em Branco</c:v>
                </c:pt>
                <c:pt idx="6">
                  <c:v>Andy Bernard</c:v>
                </c:pt>
                <c:pt idx="7">
                  <c:v>Darryl Philbin</c:v>
                </c:pt>
                <c:pt idx="8">
                  <c:v>Stanley Hudson</c:v>
                </c:pt>
                <c:pt idx="9">
                  <c:v>Kelly Kapoor</c:v>
                </c:pt>
                <c:pt idx="10">
                  <c:v>Ryan Howard</c:v>
                </c:pt>
                <c:pt idx="11">
                  <c:v>Angela Martin</c:v>
                </c:pt>
                <c:pt idx="12">
                  <c:v>Oscar Martinez</c:v>
                </c:pt>
                <c:pt idx="13">
                  <c:v>Phyllis Lapin</c:v>
                </c:pt>
                <c:pt idx="14">
                  <c:v>Meredith Palmer</c:v>
                </c:pt>
                <c:pt idx="15">
                  <c:v>Toby Flenderson</c:v>
                </c:pt>
                <c:pt idx="16">
                  <c:v>Creed Bratton</c:v>
                </c:pt>
              </c:strCache>
            </c:strRef>
          </c:cat>
          <c:val>
            <c:numRef>
              <c:f>Candidatos!$C$2:$C$18</c:f>
              <c:numCache>
                <c:formatCode>General</c:formatCode>
                <c:ptCount val="17"/>
                <c:pt idx="0">
                  <c:v>13</c:v>
                </c:pt>
                <c:pt idx="1">
                  <c:v>8</c:v>
                </c:pt>
                <c:pt idx="2">
                  <c:v>7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8-406E-B9DE-C6658B917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0134319"/>
        <c:axId val="804754703"/>
      </c:barChart>
      <c:catAx>
        <c:axId val="21013431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4754703"/>
        <c:crosses val="autoZero"/>
        <c:auto val="1"/>
        <c:lblAlgn val="ctr"/>
        <c:lblOffset val="100"/>
        <c:noMultiLvlLbl val="0"/>
      </c:catAx>
      <c:valAx>
        <c:axId val="804754703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0134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lumMod val="15000"/>
          <a:lumOff val="85000"/>
          <a:alpha val="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[Urna Eletrônica - Dunder Mifflin Paper Company.xlsm]Planilha5!Tabela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>
                    <a:lumMod val="95000"/>
                    <a:lumOff val="5000"/>
                  </a:schemeClr>
                </a:solidFill>
              </a:rPr>
              <a:t>Votos por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ln w="412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412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745437892839044E-2"/>
              <c:y val="-0.1100554310444971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412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958291761699822E-2"/>
              <c:y val="-8.73246134175915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412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7465243134749852E-2"/>
              <c:y val="-8.73246134175915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Planilha5!$B$3</c:f>
              <c:strCache>
                <c:ptCount val="1"/>
                <c:pt idx="0">
                  <c:v>Total</c:v>
                </c:pt>
              </c:strCache>
            </c:strRef>
          </c:tx>
          <c:spPr>
            <a:ln w="412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412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3CE-45A3-964D-07BB7882E700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412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53CE-45A3-964D-07BB7882E700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412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CE-45A3-964D-07BB7882E700}"/>
              </c:ext>
            </c:extLst>
          </c:dPt>
          <c:dLbls>
            <c:dLbl>
              <c:idx val="0"/>
              <c:layout>
                <c:manualLayout>
                  <c:x val="-1.7465243134749852E-2"/>
                  <c:y val="-8.73246134175915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CE-45A3-964D-07BB7882E700}"/>
                </c:ext>
              </c:extLst>
            </c:dLbl>
            <c:dLbl>
              <c:idx val="1"/>
              <c:layout>
                <c:manualLayout>
                  <c:x val="-1.745437892839044E-2"/>
                  <c:y val="-0.1100554310444971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CE-45A3-964D-07BB7882E700}"/>
                </c:ext>
              </c:extLst>
            </c:dLbl>
            <c:dLbl>
              <c:idx val="2"/>
              <c:layout>
                <c:manualLayout>
                  <c:x val="-2.0958291761699822E-2"/>
                  <c:y val="-8.73246134175915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CE-45A3-964D-07BB7882E7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Planilha5!$A$4:$A$9</c:f>
              <c:strCache>
                <c:ptCount val="5"/>
                <c:pt idx="0">
                  <c:v>13</c:v>
                </c:pt>
                <c:pt idx="1">
                  <c:v>14</c:v>
                </c:pt>
                <c:pt idx="2">
                  <c:v>15</c:v>
                </c:pt>
                <c:pt idx="3">
                  <c:v>16</c:v>
                </c:pt>
                <c:pt idx="4">
                  <c:v>17</c:v>
                </c:pt>
              </c:strCache>
            </c:strRef>
          </c:cat>
          <c:val>
            <c:numRef>
              <c:f>Planilha5!$B$4:$B$9</c:f>
              <c:numCache>
                <c:formatCode>General</c:formatCode>
                <c:ptCount val="5"/>
                <c:pt idx="0">
                  <c:v>5</c:v>
                </c:pt>
                <c:pt idx="1">
                  <c:v>2</c:v>
                </c:pt>
                <c:pt idx="2">
                  <c:v>21</c:v>
                </c:pt>
                <c:pt idx="3">
                  <c:v>29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CE-45A3-964D-07BB7882E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3774191"/>
        <c:axId val="1294704095"/>
      </c:lineChart>
      <c:catAx>
        <c:axId val="1293774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4704095"/>
        <c:crosses val="autoZero"/>
        <c:auto val="1"/>
        <c:lblAlgn val="ctr"/>
        <c:lblOffset val="100"/>
        <c:noMultiLvlLbl val="0"/>
      </c:catAx>
      <c:valAx>
        <c:axId val="129470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3774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>
                <a:solidFill>
                  <a:schemeClr val="tx1">
                    <a:lumMod val="95000"/>
                    <a:lumOff val="5000"/>
                  </a:schemeClr>
                </a:solidFill>
              </a:rPr>
              <a:t>Auditoria de votos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313C-4E1D-A0BD-C8DD949A3A24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3C-4E1D-A0BD-C8DD949A3A2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3C-4E1D-A0BD-C8DD949A3A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Candidatos!$P$32:$P$34</c:f>
              <c:strCache>
                <c:ptCount val="3"/>
                <c:pt idx="0">
                  <c:v>Votos Válidos</c:v>
                </c:pt>
                <c:pt idx="1">
                  <c:v>Votos em Branco</c:v>
                </c:pt>
                <c:pt idx="2">
                  <c:v>Votos Nulos</c:v>
                </c:pt>
              </c:strCache>
            </c:strRef>
          </c:cat>
          <c:val>
            <c:numRef>
              <c:f>Candidatos!$Q$32:$Q$34</c:f>
              <c:numCache>
                <c:formatCode>General</c:formatCode>
                <c:ptCount val="3"/>
                <c:pt idx="0">
                  <c:v>52</c:v>
                </c:pt>
                <c:pt idx="1">
                  <c:v>2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3C-4E1D-A0BD-C8DD949A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77320</xdr:colOff>
      <xdr:row>23</xdr:row>
      <xdr:rowOff>93650</xdr:rowOff>
    </xdr:from>
    <xdr:to>
      <xdr:col>4</xdr:col>
      <xdr:colOff>217474</xdr:colOff>
      <xdr:row>54</xdr:row>
      <xdr:rowOff>78442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3FE22F-B989-4067-B250-3AF923CA3C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391805</xdr:colOff>
      <xdr:row>23</xdr:row>
      <xdr:rowOff>143195</xdr:rowOff>
    </xdr:from>
    <xdr:to>
      <xdr:col>14</xdr:col>
      <xdr:colOff>58430</xdr:colOff>
      <xdr:row>38</xdr:row>
      <xdr:rowOff>28895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F5CA829-77C9-44D5-AC78-0430146616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385551</xdr:colOff>
      <xdr:row>39</xdr:row>
      <xdr:rowOff>4671</xdr:rowOff>
    </xdr:from>
    <xdr:to>
      <xdr:col>14</xdr:col>
      <xdr:colOff>22412</xdr:colOff>
      <xdr:row>54</xdr:row>
      <xdr:rowOff>23212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8A5FC27-8446-4848-A2EB-EB075A8134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89647</xdr:colOff>
      <xdr:row>10</xdr:row>
      <xdr:rowOff>161926</xdr:rowOff>
    </xdr:from>
    <xdr:to>
      <xdr:col>11</xdr:col>
      <xdr:colOff>453838</xdr:colOff>
      <xdr:row>17</xdr:row>
      <xdr:rowOff>125106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2572259B-15BA-4CCE-9DA9-A450A51DD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9588" y="2066926"/>
          <a:ext cx="1574426" cy="1296680"/>
        </a:xfrm>
        <a:prstGeom prst="rect">
          <a:avLst/>
        </a:prstGeom>
        <a:effectLst/>
      </xdr:spPr>
    </xdr:pic>
    <xdr:clientData/>
  </xdr:twoCellAnchor>
  <xdr:twoCellAnchor>
    <xdr:from>
      <xdr:col>10</xdr:col>
      <xdr:colOff>523875</xdr:colOff>
      <xdr:row>8</xdr:row>
      <xdr:rowOff>38100</xdr:rowOff>
    </xdr:from>
    <xdr:to>
      <xdr:col>13</xdr:col>
      <xdr:colOff>295275</xdr:colOff>
      <xdr:row>11</xdr:row>
      <xdr:rowOff>95250</xdr:rowOff>
    </xdr:to>
    <xdr:sp macro="[0]!AtualizarRanking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92B769B-AF71-4DD4-AC37-10F368C3CBA7}"/>
            </a:ext>
          </a:extLst>
        </xdr:cNvPr>
        <xdr:cNvSpPr/>
      </xdr:nvSpPr>
      <xdr:spPr>
        <a:xfrm>
          <a:off x="9496425" y="1562100"/>
          <a:ext cx="1600200" cy="62865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50800" dir="5400000" algn="ctr" rotWithShape="0">
            <a:schemeClr val="tx1"/>
          </a:outerShdw>
          <a:reflection blurRad="6350" stA="52000" endA="300" endPos="3500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latin typeface="Arial" panose="020B0604020202020204" pitchFamily="34" charset="0"/>
              <a:cs typeface="Arial" panose="020B0604020202020204" pitchFamily="34" charset="0"/>
            </a:rPr>
            <a:t>ATUALIZAR DADOS</a:t>
          </a:r>
        </a:p>
      </xdr:txBody>
    </xdr:sp>
    <xdr:clientData/>
  </xdr:twoCellAnchor>
  <xdr:twoCellAnchor>
    <xdr:from>
      <xdr:col>7</xdr:col>
      <xdr:colOff>209550</xdr:colOff>
      <xdr:row>8</xdr:row>
      <xdr:rowOff>28575</xdr:rowOff>
    </xdr:from>
    <xdr:to>
      <xdr:col>9</xdr:col>
      <xdr:colOff>590550</xdr:colOff>
      <xdr:row>11</xdr:row>
      <xdr:rowOff>85725</xdr:rowOff>
    </xdr:to>
    <xdr:sp macro="[0]!IniciarVo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BC1C4E96-D3F9-4F34-9916-70F1292B437F}"/>
            </a:ext>
          </a:extLst>
        </xdr:cNvPr>
        <xdr:cNvSpPr/>
      </xdr:nvSpPr>
      <xdr:spPr>
        <a:xfrm>
          <a:off x="7353300" y="1552575"/>
          <a:ext cx="1600200" cy="62865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50800" dir="5400000" algn="ctr" rotWithShape="0">
            <a:schemeClr val="tx1"/>
          </a:outerShdw>
          <a:reflection blurRad="6350" stA="52000" endA="300" endPos="3500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INICIAR VOTAÇÃO</a:t>
          </a:r>
        </a:p>
      </xdr:txBody>
    </xdr:sp>
    <xdr:clientData/>
  </xdr:twoCellAnchor>
  <xdr:twoCellAnchor>
    <xdr:from>
      <xdr:col>0</xdr:col>
      <xdr:colOff>0</xdr:colOff>
      <xdr:row>20</xdr:row>
      <xdr:rowOff>1363</xdr:rowOff>
    </xdr:from>
    <xdr:to>
      <xdr:col>36</xdr:col>
      <xdr:colOff>408214</xdr:colOff>
      <xdr:row>20</xdr:row>
      <xdr:rowOff>57150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70244D73-CE0D-4F02-B536-0A8C54C37BBB}"/>
            </a:ext>
          </a:extLst>
        </xdr:cNvPr>
        <xdr:cNvCxnSpPr/>
      </xdr:nvCxnSpPr>
      <xdr:spPr>
        <a:xfrm flipV="1">
          <a:off x="0" y="3811363"/>
          <a:ext cx="27373489" cy="55787"/>
        </a:xfrm>
        <a:prstGeom prst="line">
          <a:avLst/>
        </a:prstGeom>
        <a:ln>
          <a:solidFill>
            <a:schemeClr val="bg1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SUNG" refreshedDate="46062.742306944441" createdVersion="7" refreshedVersion="7" minRefreshableVersion="3" recordCount="60" xr:uid="{0CD412FB-F917-4077-9C93-51387A1B1D6C}">
  <cacheSource type="worksheet">
    <worksheetSource name="Tabela2"/>
  </cacheSource>
  <cacheFields count="3">
    <cacheField name="Voto Computado" numFmtId="0">
      <sharedItems containsMixedTypes="1" containsNumber="1" containsInteger="1" minValue="0" maxValue="63"/>
    </cacheField>
    <cacheField name="Data e Hora" numFmtId="22">
      <sharedItems containsSemiMixedTypes="0" containsNonDate="0" containsDate="1" containsString="0" minDate="2026-02-09T13:43:29" maxDate="2026-02-09T17:48:51"/>
    </cacheField>
    <cacheField name="Hora" numFmtId="0">
      <sharedItems containsSemiMixedTypes="0" containsString="0" containsNumber="1" containsInteger="1" minValue="13" maxValue="17" count="5">
        <n v="13"/>
        <n v="14"/>
        <n v="15"/>
        <n v="16"/>
        <n v="1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n v="31"/>
    <d v="2026-02-09T13:43:29"/>
    <x v="0"/>
  </r>
  <r>
    <n v="44"/>
    <d v="2026-02-09T13:44:30"/>
    <x v="0"/>
  </r>
  <r>
    <n v="31"/>
    <d v="2026-02-09T13:45:39"/>
    <x v="0"/>
  </r>
  <r>
    <s v="BRANCO"/>
    <d v="2026-02-09T13:45:54"/>
    <x v="0"/>
  </r>
  <r>
    <n v="31"/>
    <d v="2026-02-09T13:47:09"/>
    <x v="0"/>
  </r>
  <r>
    <n v="31"/>
    <d v="2026-02-09T14:10:48"/>
    <x v="1"/>
  </r>
  <r>
    <n v="35"/>
    <d v="2026-02-09T14:56:44"/>
    <x v="1"/>
  </r>
  <r>
    <n v="32"/>
    <d v="2026-02-09T15:07:54"/>
    <x v="2"/>
  </r>
  <r>
    <n v="33"/>
    <d v="2026-02-09T15:07:59"/>
    <x v="2"/>
  </r>
  <r>
    <n v="45"/>
    <d v="2026-02-09T15:08:05"/>
    <x v="2"/>
  </r>
  <r>
    <n v="31"/>
    <d v="2026-02-09T15:34:06"/>
    <x v="2"/>
  </r>
  <r>
    <n v="40"/>
    <d v="2026-02-09T15:34:54"/>
    <x v="2"/>
  </r>
  <r>
    <n v="41"/>
    <d v="2026-02-09T15:35:05"/>
    <x v="2"/>
  </r>
  <r>
    <n v="42"/>
    <d v="2026-02-09T15:35:26"/>
    <x v="2"/>
  </r>
  <r>
    <n v="38"/>
    <d v="2026-02-09T15:35:37"/>
    <x v="2"/>
  </r>
  <r>
    <n v="34"/>
    <d v="2026-02-09T15:37:22"/>
    <x v="2"/>
  </r>
  <r>
    <n v="39"/>
    <d v="2026-02-09T15:37:34"/>
    <x v="2"/>
  </r>
  <r>
    <n v="37"/>
    <d v="2026-02-09T15:37:41"/>
    <x v="2"/>
  </r>
  <r>
    <n v="43"/>
    <d v="2026-02-09T15:37:46"/>
    <x v="2"/>
  </r>
  <r>
    <n v="36"/>
    <d v="2026-02-09T15:37:52"/>
    <x v="2"/>
  </r>
  <r>
    <n v="30"/>
    <d v="2026-02-09T15:38:04"/>
    <x v="2"/>
  </r>
  <r>
    <n v="4"/>
    <d v="2026-02-09T15:38:10"/>
    <x v="2"/>
  </r>
  <r>
    <n v="44"/>
    <d v="2026-02-09T15:38:19"/>
    <x v="2"/>
  </r>
  <r>
    <n v="44"/>
    <d v="2026-02-09T15:38:27"/>
    <x v="2"/>
  </r>
  <r>
    <n v="7"/>
    <d v="2026-02-09T15:38:30"/>
    <x v="2"/>
  </r>
  <r>
    <s v="BRANCO"/>
    <d v="2026-02-09T15:39:09"/>
    <x v="2"/>
  </r>
  <r>
    <n v="0"/>
    <d v="2026-02-09T15:39:16"/>
    <x v="2"/>
  </r>
  <r>
    <n v="8"/>
    <d v="2026-02-09T15:39:20"/>
    <x v="2"/>
  </r>
  <r>
    <n v="35"/>
    <d v="2026-02-09T16:11:23"/>
    <x v="3"/>
  </r>
  <r>
    <n v="35"/>
    <d v="2026-02-09T16:12:07"/>
    <x v="3"/>
  </r>
  <r>
    <n v="35"/>
    <d v="2026-02-09T16:12:11"/>
    <x v="3"/>
  </r>
  <r>
    <n v="35"/>
    <d v="2026-02-09T16:15:05"/>
    <x v="3"/>
  </r>
  <r>
    <n v="31"/>
    <d v="2026-02-09T16:15:09"/>
    <x v="3"/>
  </r>
  <r>
    <n v="38"/>
    <d v="2026-02-09T16:15:22"/>
    <x v="3"/>
  </r>
  <r>
    <n v="9"/>
    <d v="2026-02-09T16:20:19"/>
    <x v="3"/>
  </r>
  <r>
    <n v="63"/>
    <d v="2026-02-09T16:20:25"/>
    <x v="3"/>
  </r>
  <r>
    <n v="25"/>
    <d v="2026-02-09T16:20:30"/>
    <x v="3"/>
  </r>
  <r>
    <n v="42"/>
    <d v="2026-02-09T16:20:43"/>
    <x v="3"/>
  </r>
  <r>
    <n v="42"/>
    <d v="2026-02-09T16:20:51"/>
    <x v="3"/>
  </r>
  <r>
    <n v="31"/>
    <d v="2026-02-09T16:21:07"/>
    <x v="3"/>
  </r>
  <r>
    <n v="31"/>
    <d v="2026-02-09T16:21:10"/>
    <x v="3"/>
  </r>
  <r>
    <n v="31"/>
    <d v="2026-02-09T16:21:13"/>
    <x v="3"/>
  </r>
  <r>
    <n v="31"/>
    <d v="2026-02-09T16:21:18"/>
    <x v="3"/>
  </r>
  <r>
    <n v="31"/>
    <d v="2026-02-09T16:21:23"/>
    <x v="3"/>
  </r>
  <r>
    <n v="32"/>
    <d v="2026-02-09T16:21:29"/>
    <x v="3"/>
  </r>
  <r>
    <n v="42"/>
    <d v="2026-02-09T16:22:01"/>
    <x v="3"/>
  </r>
  <r>
    <n v="44"/>
    <d v="2026-02-09T16:22:11"/>
    <x v="3"/>
  </r>
  <r>
    <n v="4"/>
    <d v="2026-02-09T16:22:16"/>
    <x v="3"/>
  </r>
  <r>
    <n v="44"/>
    <d v="2026-02-09T16:22:19"/>
    <x v="3"/>
  </r>
  <r>
    <n v="44"/>
    <d v="2026-02-09T16:22:26"/>
    <x v="3"/>
  </r>
  <r>
    <n v="44"/>
    <d v="2026-02-09T16:22:31"/>
    <x v="3"/>
  </r>
  <r>
    <n v="35"/>
    <d v="2026-02-09T16:22:36"/>
    <x v="3"/>
  </r>
  <r>
    <n v="35"/>
    <d v="2026-02-09T16:22:39"/>
    <x v="3"/>
  </r>
  <r>
    <n v="35"/>
    <d v="2026-02-09T16:22:44"/>
    <x v="3"/>
  </r>
  <r>
    <n v="45"/>
    <d v="2026-02-09T16:22:53"/>
    <x v="3"/>
  </r>
  <r>
    <n v="41"/>
    <d v="2026-02-09T16:23:01"/>
    <x v="3"/>
  </r>
  <r>
    <n v="31"/>
    <d v="2026-02-09T16:47:42"/>
    <x v="3"/>
  </r>
  <r>
    <n v="38"/>
    <d v="2026-02-09T17:25:32"/>
    <x v="4"/>
  </r>
  <r>
    <n v="38"/>
    <d v="2026-02-09T17:26:37"/>
    <x v="4"/>
  </r>
  <r>
    <n v="31"/>
    <d v="2026-02-09T17:48:51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F3C5D3-B8B2-4F0F-81BE-8C0E34ECF417}" name="Tabela dinâmica3" cacheId="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3:B9" firstHeaderRow="1" firstDataRow="1" firstDataCol="1"/>
  <pivotFields count="3">
    <pivotField dataField="1" showAll="0"/>
    <pivotField numFmtId="22" showAll="0"/>
    <pivotField axis="axisRow" showAll="0">
      <items count="6">
        <item x="0"/>
        <item x="1"/>
        <item x="2"/>
        <item x="3"/>
        <item x="4"/>
        <item t="default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ntagem de Voto Computado" fld="0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3D7539-26C6-4CCD-84B5-51C15B1F9A21}" name="Tabela1" displayName="Tabela1" ref="A1:D18" totalsRowShown="0" headerRowDxfId="10" dataDxfId="8" headerRowBorderDxfId="9" tableBorderDxfId="7">
  <autoFilter ref="A1:D18" xr:uid="{903D7539-26C6-4CCD-84B5-51C15B1F9A21}"/>
  <sortState xmlns:xlrd2="http://schemas.microsoft.com/office/spreadsheetml/2017/richdata2" ref="A2:D18">
    <sortCondition descending="1" ref="C1:C18"/>
  </sortState>
  <tableColumns count="4">
    <tableColumn id="1" xr3:uid="{44143965-DD0D-4DC7-9821-CBA53D0EB87D}" name="Candidatos" dataDxfId="6"/>
    <tableColumn id="2" xr3:uid="{DFFBC57F-4054-48A6-B44D-EAF541968D36}" name="Número" dataDxfId="5"/>
    <tableColumn id="3" xr3:uid="{A9FF24E5-81FF-4A4C-9CAC-7E84FEFBCBD7}" name="Votos" dataDxfId="4">
      <calculatedColumnFormula>COUNTIF(Votos!A:A, B2)</calculatedColumnFormula>
    </tableColumn>
    <tableColumn id="6" xr3:uid="{7BDB4615-7E8C-4381-B216-F1DB7DAD4FDE}" name="% dos Votos" dataDxfId="3" dataCellStyle="Porcentagem">
      <calculatedColumnFormula>C2/$Q$31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6F9AC4-8F7D-4709-9E9C-25304D4ED38C}" name="Tabela2" displayName="Tabela2" ref="A1:C61" totalsRowShown="0">
  <autoFilter ref="A1:C61" xr:uid="{346F9AC4-8F7D-4709-9E9C-25304D4ED38C}"/>
  <tableColumns count="3">
    <tableColumn id="1" xr3:uid="{7F80A3CB-0A4A-464C-B3B7-776869915B3D}" name="Voto Computado" dataDxfId="2"/>
    <tableColumn id="2" xr3:uid="{4CEC5A15-CB8C-4294-AD3E-680D4F345004}" name="Data e Hora" dataDxfId="1"/>
    <tableColumn id="3" xr3:uid="{BE76E327-F680-44F8-82A2-05C9DE455D4E}" name="Hora" dataDxfId="0">
      <calculatedColumnFormula>HOUR(B2)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DBA16-8A6B-44EA-A93E-2A00B9942788}">
  <sheetPr codeName="Planilha1"/>
  <dimension ref="A1:AP34"/>
  <sheetViews>
    <sheetView showGridLines="0" tabSelected="1" zoomScale="70" zoomScaleNormal="70" workbookViewId="0">
      <selection activeCell="U54" sqref="U54"/>
    </sheetView>
  </sheetViews>
  <sheetFormatPr defaultRowHeight="15" x14ac:dyDescent="0.25"/>
  <cols>
    <col min="1" max="1" width="32.5703125" bestFit="1" customWidth="1"/>
    <col min="2" max="2" width="17.140625" style="4" customWidth="1"/>
    <col min="3" max="3" width="12.140625" style="4" customWidth="1"/>
    <col min="4" max="4" width="17.85546875" style="4" customWidth="1"/>
    <col min="5" max="5" width="8.140625" customWidth="1"/>
    <col min="14" max="14" width="32.5703125" customWidth="1"/>
    <col min="16" max="16" width="17.7109375" bestFit="1" customWidth="1"/>
    <col min="17" max="17" width="10.28515625" bestFit="1" customWidth="1"/>
  </cols>
  <sheetData>
    <row r="1" spans="1:42" x14ac:dyDescent="0.25">
      <c r="A1" s="10" t="s">
        <v>0</v>
      </c>
      <c r="B1" s="11" t="s">
        <v>2</v>
      </c>
      <c r="C1" s="12" t="s">
        <v>1</v>
      </c>
      <c r="D1" s="13" t="s">
        <v>24</v>
      </c>
      <c r="E1" s="17"/>
      <c r="F1" s="50" t="s">
        <v>23</v>
      </c>
      <c r="G1" s="51"/>
      <c r="H1" s="51"/>
      <c r="I1" s="51"/>
      <c r="J1" s="51"/>
      <c r="K1" s="51"/>
      <c r="L1" s="51"/>
      <c r="M1" s="51"/>
      <c r="N1" s="51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</row>
    <row r="2" spans="1:42" x14ac:dyDescent="0.25">
      <c r="A2" s="14" t="s">
        <v>5</v>
      </c>
      <c r="B2" s="15">
        <v>31</v>
      </c>
      <c r="C2" s="15">
        <f>COUNTIF(Votos!A:A, B2)</f>
        <v>13</v>
      </c>
      <c r="D2" s="16">
        <f>C2/$Q$31</f>
        <v>0.21666666666666667</v>
      </c>
      <c r="E2" s="17"/>
      <c r="F2" s="51"/>
      <c r="G2" s="51"/>
      <c r="H2" s="51"/>
      <c r="I2" s="51"/>
      <c r="J2" s="51"/>
      <c r="K2" s="51"/>
      <c r="L2" s="51"/>
      <c r="M2" s="51"/>
      <c r="N2" s="51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</row>
    <row r="3" spans="1:42" x14ac:dyDescent="0.25">
      <c r="A3" s="14" t="s">
        <v>6</v>
      </c>
      <c r="B3" s="15">
        <v>35</v>
      </c>
      <c r="C3" s="15">
        <f>COUNTIF(Votos!A:A, B3)</f>
        <v>8</v>
      </c>
      <c r="D3" s="16">
        <f>C3/$Q$31</f>
        <v>0.13333333333333333</v>
      </c>
      <c r="E3" s="17"/>
      <c r="F3" s="52" t="s">
        <v>33</v>
      </c>
      <c r="G3" s="51"/>
      <c r="H3" s="51"/>
      <c r="I3" s="51"/>
      <c r="J3" s="51"/>
      <c r="K3" s="51"/>
      <c r="L3" s="51"/>
      <c r="M3" s="51"/>
      <c r="N3" s="51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</row>
    <row r="4" spans="1:42" x14ac:dyDescent="0.25">
      <c r="A4" s="14" t="s">
        <v>7</v>
      </c>
      <c r="B4" s="15">
        <v>44</v>
      </c>
      <c r="C4" s="15">
        <f>COUNTIF(Votos!A:A, B4)</f>
        <v>7</v>
      </c>
      <c r="D4" s="16">
        <f>C4/$Q$31</f>
        <v>0.11666666666666667</v>
      </c>
      <c r="E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</row>
    <row r="5" spans="1:42" x14ac:dyDescent="0.25">
      <c r="A5" s="23" t="s">
        <v>8</v>
      </c>
      <c r="B5" s="22">
        <v>42</v>
      </c>
      <c r="C5" s="15">
        <f>COUNTIF(Votos!A:A, B5)</f>
        <v>4</v>
      </c>
      <c r="D5" s="16">
        <f>C5/$Q$31</f>
        <v>6.6666666666666666E-2</v>
      </c>
      <c r="E5" s="17"/>
      <c r="O5" s="17"/>
      <c r="P5" s="36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</row>
    <row r="6" spans="1:42" x14ac:dyDescent="0.25">
      <c r="A6" s="23" t="s">
        <v>12</v>
      </c>
      <c r="B6" s="22">
        <v>38</v>
      </c>
      <c r="C6" s="15">
        <f>COUNTIF(Votos!A:A, B6)</f>
        <v>4</v>
      </c>
      <c r="D6" s="16">
        <f>C6/$Q$31</f>
        <v>6.6666666666666666E-2</v>
      </c>
      <c r="E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</row>
    <row r="7" spans="1:42" x14ac:dyDescent="0.25">
      <c r="A7" s="43" t="s">
        <v>22</v>
      </c>
      <c r="B7" s="44" t="s">
        <v>21</v>
      </c>
      <c r="C7" s="45">
        <f>COUNTIF(Votos!A:A, B7)</f>
        <v>2</v>
      </c>
      <c r="D7" s="46">
        <f>C7/$Q$31</f>
        <v>3.3333333333333333E-2</v>
      </c>
      <c r="E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</row>
    <row r="8" spans="1:42" x14ac:dyDescent="0.25">
      <c r="A8" s="23" t="s">
        <v>10</v>
      </c>
      <c r="B8" s="22">
        <v>45</v>
      </c>
      <c r="C8" s="15">
        <f>COUNTIF(Votos!A:A, B8)</f>
        <v>2</v>
      </c>
      <c r="D8" s="16">
        <f>C8/$Q$31</f>
        <v>3.3333333333333333E-2</v>
      </c>
      <c r="E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</row>
    <row r="9" spans="1:42" x14ac:dyDescent="0.25">
      <c r="A9" s="23" t="s">
        <v>20</v>
      </c>
      <c r="B9" s="22">
        <v>32</v>
      </c>
      <c r="C9" s="15">
        <f>COUNTIF(Votos!A:A, B9)</f>
        <v>2</v>
      </c>
      <c r="D9" s="16">
        <f>C9/$Q$31</f>
        <v>3.3333333333333333E-2</v>
      </c>
      <c r="E9" s="36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</row>
    <row r="10" spans="1:42" x14ac:dyDescent="0.25">
      <c r="A10" s="23" t="s">
        <v>11</v>
      </c>
      <c r="B10" s="22">
        <v>41</v>
      </c>
      <c r="C10" s="15">
        <f>COUNTIF(Votos!A:A, B10)</f>
        <v>2</v>
      </c>
      <c r="D10" s="16">
        <f>C10/$Q$31</f>
        <v>3.3333333333333333E-2</v>
      </c>
      <c r="E10" s="36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</row>
    <row r="11" spans="1:42" x14ac:dyDescent="0.25">
      <c r="A11" s="23" t="s">
        <v>17</v>
      </c>
      <c r="B11" s="22">
        <v>33</v>
      </c>
      <c r="C11" s="15">
        <f>COUNTIF(Votos!A:A, B11)</f>
        <v>1</v>
      </c>
      <c r="D11" s="16">
        <f>C11/$Q$31</f>
        <v>1.6666666666666666E-2</v>
      </c>
      <c r="E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</row>
    <row r="12" spans="1:42" x14ac:dyDescent="0.25">
      <c r="A12" s="23" t="s">
        <v>9</v>
      </c>
      <c r="B12" s="22">
        <v>30</v>
      </c>
      <c r="C12" s="15">
        <f>COUNTIF(Votos!A:A, B12)</f>
        <v>1</v>
      </c>
      <c r="D12" s="16">
        <f>C12/$Q$31</f>
        <v>1.6666666666666666E-2</v>
      </c>
      <c r="E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</row>
    <row r="13" spans="1:42" x14ac:dyDescent="0.25">
      <c r="A13" s="23" t="s">
        <v>13</v>
      </c>
      <c r="B13" s="22">
        <v>36</v>
      </c>
      <c r="C13" s="15">
        <f>COUNTIF(Votos!A:A, B13)</f>
        <v>1</v>
      </c>
      <c r="D13" s="16">
        <f>C13/$Q$31</f>
        <v>1.6666666666666666E-2</v>
      </c>
      <c r="E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</row>
    <row r="14" spans="1:42" x14ac:dyDescent="0.25">
      <c r="A14" s="23" t="s">
        <v>14</v>
      </c>
      <c r="B14" s="22">
        <v>37</v>
      </c>
      <c r="C14" s="15">
        <f>COUNTIF(Votos!A:A, B14)</f>
        <v>1</v>
      </c>
      <c r="D14" s="16">
        <f>C14/$Q$31</f>
        <v>1.6666666666666666E-2</v>
      </c>
      <c r="E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</row>
    <row r="15" spans="1:42" x14ac:dyDescent="0.25">
      <c r="A15" s="23" t="s">
        <v>15</v>
      </c>
      <c r="B15" s="22">
        <v>43</v>
      </c>
      <c r="C15" s="15">
        <f>COUNTIF(Votos!A:A, B15)</f>
        <v>1</v>
      </c>
      <c r="D15" s="16">
        <f>C15/$Q$31</f>
        <v>1.6666666666666666E-2</v>
      </c>
      <c r="E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</row>
    <row r="16" spans="1:42" x14ac:dyDescent="0.25">
      <c r="A16" s="24" t="s">
        <v>16</v>
      </c>
      <c r="B16" s="29">
        <v>34</v>
      </c>
      <c r="C16" s="21">
        <f>COUNTIF(Votos!A:A, B16)</f>
        <v>1</v>
      </c>
      <c r="D16" s="27">
        <f>C16/$Q$31</f>
        <v>1.6666666666666666E-2</v>
      </c>
      <c r="E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</row>
    <row r="17" spans="1:42" x14ac:dyDescent="0.25">
      <c r="A17" s="23" t="s">
        <v>18</v>
      </c>
      <c r="B17" s="34">
        <v>40</v>
      </c>
      <c r="C17" s="32">
        <f>COUNTIF(Votos!A:A, B17)</f>
        <v>1</v>
      </c>
      <c r="D17" s="33">
        <f>C17/$Q$31</f>
        <v>1.6666666666666666E-2</v>
      </c>
      <c r="E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</row>
    <row r="18" spans="1:42" x14ac:dyDescent="0.25">
      <c r="A18" s="35" t="s">
        <v>19</v>
      </c>
      <c r="B18" s="32">
        <v>39</v>
      </c>
      <c r="C18" s="32">
        <f>COUNTIF(Votos!A:A, B18)</f>
        <v>1</v>
      </c>
      <c r="D18" s="33">
        <f>C18/$Q$31</f>
        <v>1.6666666666666666E-2</v>
      </c>
      <c r="E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</row>
    <row r="19" spans="1:42" x14ac:dyDescent="0.25">
      <c r="A19" s="26"/>
      <c r="B19" s="31"/>
      <c r="C19" s="28"/>
      <c r="D19" s="18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</row>
    <row r="20" spans="1:42" x14ac:dyDescent="0.25">
      <c r="A20" s="25"/>
      <c r="B20" s="30"/>
      <c r="C20" s="18"/>
      <c r="D20" s="18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</row>
    <row r="21" spans="1:42" x14ac:dyDescent="0.25">
      <c r="A21" s="25"/>
      <c r="B21" s="30"/>
      <c r="C21" s="18"/>
      <c r="D21" s="18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</row>
    <row r="22" spans="1:42" ht="25.5" x14ac:dyDescent="0.25">
      <c r="A22" s="25"/>
      <c r="B22" s="30"/>
      <c r="C22" s="18"/>
      <c r="D22" s="18"/>
      <c r="E22" s="19"/>
      <c r="F22" s="47" t="s">
        <v>34</v>
      </c>
      <c r="G22" s="47"/>
      <c r="H22" s="47"/>
      <c r="I22" s="47"/>
      <c r="J22" s="47"/>
      <c r="K22" s="47"/>
      <c r="L22" s="47"/>
      <c r="M22" s="47"/>
      <c r="N22" s="4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</row>
    <row r="23" spans="1:42" x14ac:dyDescent="0.25">
      <c r="A23" s="25"/>
      <c r="B23" s="30"/>
      <c r="C23" s="18"/>
      <c r="D23" s="18"/>
      <c r="E23" s="20"/>
      <c r="F23" s="47"/>
      <c r="G23" s="47"/>
      <c r="H23" s="47"/>
      <c r="I23" s="47"/>
      <c r="J23" s="47"/>
      <c r="K23" s="47"/>
      <c r="L23" s="47"/>
      <c r="M23" s="47"/>
      <c r="N23" s="4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</row>
    <row r="29" spans="1:42" ht="15.75" thickBot="1" x14ac:dyDescent="0.3"/>
    <row r="30" spans="1:42" x14ac:dyDescent="0.25">
      <c r="P30" s="48" t="s">
        <v>35</v>
      </c>
      <c r="Q30" s="49"/>
    </row>
    <row r="31" spans="1:42" x14ac:dyDescent="0.25">
      <c r="P31" s="40" t="s">
        <v>29</v>
      </c>
      <c r="Q31" s="41">
        <f>COUNTA(Votos!A:A)-1</f>
        <v>60</v>
      </c>
    </row>
    <row r="32" spans="1:42" x14ac:dyDescent="0.25">
      <c r="P32" s="39" t="s">
        <v>30</v>
      </c>
      <c r="Q32" s="41">
        <f>SUM(C:C)</f>
        <v>52</v>
      </c>
    </row>
    <row r="33" spans="16:17" x14ac:dyDescent="0.25">
      <c r="P33" s="38" t="s">
        <v>31</v>
      </c>
      <c r="Q33" s="41">
        <f>COUNTIF(Votos!A:A, "BRANCO")</f>
        <v>2</v>
      </c>
    </row>
    <row r="34" spans="16:17" ht="15.75" thickBot="1" x14ac:dyDescent="0.3">
      <c r="P34" s="37" t="s">
        <v>32</v>
      </c>
      <c r="Q34" s="42">
        <f>Q31-Q32</f>
        <v>8</v>
      </c>
    </row>
  </sheetData>
  <sortState xmlns:xlrd2="http://schemas.microsoft.com/office/spreadsheetml/2017/richdata2" ref="A2:D18">
    <sortCondition descending="1" ref="C2"/>
  </sortState>
  <mergeCells count="4">
    <mergeCell ref="F22:N23"/>
    <mergeCell ref="P30:Q30"/>
    <mergeCell ref="F1:N2"/>
    <mergeCell ref="F3:N3"/>
  </mergeCells>
  <conditionalFormatting sqref="D2:D18">
    <cfRule type="dataBar" priority="1">
      <dataBar>
        <cfvo type="min"/>
        <cfvo type="max"/>
        <color rgb="FFA9A9A9"/>
      </dataBar>
      <extLst>
        <ext xmlns:x14="http://schemas.microsoft.com/office/spreadsheetml/2009/9/main" uri="{B025F937-C7B1-47D3-B67F-A62EFF666E3E}">
          <x14:id>{6FF16C48-A8E5-4228-A661-0A0BC9BBE20E}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FF16C48-A8E5-4228-A661-0A0BC9BBE20E}">
            <x14:dataBar minLength="0" maxLength="100" border="1" negativeBarBorderColorSameAsPositive="0">
              <x14:cfvo type="autoMin"/>
              <x14:cfvo type="autoMax"/>
              <x14:borderColor rgb="FFA9A9A9"/>
              <x14:negativeFillColor rgb="FFFF0000"/>
              <x14:negativeBorderColor rgb="FFFF0000"/>
              <x14:axisColor rgb="FF000000"/>
            </x14:dataBar>
          </x14:cfRule>
          <xm:sqref>D2:D18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6C1D6-D13F-4ECD-AB6E-E6BC642D8F9F}">
  <sheetPr codeName="Planilha6"/>
  <dimension ref="A3:B9"/>
  <sheetViews>
    <sheetView workbookViewId="0">
      <selection activeCell="B6" sqref="B6"/>
    </sheetView>
  </sheetViews>
  <sheetFormatPr defaultRowHeight="15" x14ac:dyDescent="0.25"/>
  <cols>
    <col min="1" max="1" width="18" bestFit="1" customWidth="1"/>
    <col min="2" max="2" width="28.7109375" bestFit="1" customWidth="1"/>
  </cols>
  <sheetData>
    <row r="3" spans="1:2" x14ac:dyDescent="0.25">
      <c r="A3" s="7" t="s">
        <v>26</v>
      </c>
      <c r="B3" t="s">
        <v>28</v>
      </c>
    </row>
    <row r="4" spans="1:2" x14ac:dyDescent="0.25">
      <c r="A4" s="8">
        <v>13</v>
      </c>
      <c r="B4" s="9">
        <v>5</v>
      </c>
    </row>
    <row r="5" spans="1:2" x14ac:dyDescent="0.25">
      <c r="A5" s="8">
        <v>14</v>
      </c>
      <c r="B5" s="9">
        <v>2</v>
      </c>
    </row>
    <row r="6" spans="1:2" x14ac:dyDescent="0.25">
      <c r="A6" s="8">
        <v>15</v>
      </c>
      <c r="B6" s="9">
        <v>21</v>
      </c>
    </row>
    <row r="7" spans="1:2" x14ac:dyDescent="0.25">
      <c r="A7" s="8">
        <v>16</v>
      </c>
      <c r="B7" s="9">
        <v>29</v>
      </c>
    </row>
    <row r="8" spans="1:2" x14ac:dyDescent="0.25">
      <c r="A8" s="8">
        <v>17</v>
      </c>
      <c r="B8" s="9">
        <v>3</v>
      </c>
    </row>
    <row r="9" spans="1:2" x14ac:dyDescent="0.25">
      <c r="A9" s="8" t="s">
        <v>27</v>
      </c>
      <c r="B9" s="9">
        <v>60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6832D-733F-408C-BAF6-9B9CF96356E3}">
  <sheetPr codeName="Planilha3"/>
  <dimension ref="A1:C61"/>
  <sheetViews>
    <sheetView workbookViewId="0">
      <selection activeCell="G29" sqref="G29"/>
    </sheetView>
  </sheetViews>
  <sheetFormatPr defaultRowHeight="15" x14ac:dyDescent="0.25"/>
  <cols>
    <col min="1" max="1" width="18.140625" customWidth="1"/>
    <col min="2" max="2" width="15.85546875" bestFit="1" customWidth="1"/>
  </cols>
  <sheetData>
    <row r="1" spans="1:3" x14ac:dyDescent="0.25">
      <c r="A1" t="s">
        <v>3</v>
      </c>
      <c r="B1" t="s">
        <v>4</v>
      </c>
      <c r="C1" t="s">
        <v>25</v>
      </c>
    </row>
    <row r="2" spans="1:3" x14ac:dyDescent="0.25">
      <c r="A2" s="3">
        <v>31</v>
      </c>
      <c r="B2" s="5">
        <v>46062.571863425925</v>
      </c>
      <c r="C2" s="2">
        <f t="shared" ref="C2:C6" si="0">HOUR(B2)</f>
        <v>13</v>
      </c>
    </row>
    <row r="3" spans="1:3" x14ac:dyDescent="0.25">
      <c r="A3" s="3">
        <v>44</v>
      </c>
      <c r="B3" s="5">
        <v>46062.572569444441</v>
      </c>
      <c r="C3" s="1">
        <f t="shared" si="0"/>
        <v>13</v>
      </c>
    </row>
    <row r="4" spans="1:3" x14ac:dyDescent="0.25">
      <c r="A4" s="3">
        <v>31</v>
      </c>
      <c r="B4" s="5">
        <v>46062.573368055557</v>
      </c>
      <c r="C4" s="1">
        <f t="shared" si="0"/>
        <v>13</v>
      </c>
    </row>
    <row r="5" spans="1:3" x14ac:dyDescent="0.25">
      <c r="A5" s="3" t="s">
        <v>21</v>
      </c>
      <c r="B5" s="5">
        <v>46062.573541666665</v>
      </c>
      <c r="C5" s="1">
        <f t="shared" si="0"/>
        <v>13</v>
      </c>
    </row>
    <row r="6" spans="1:3" x14ac:dyDescent="0.25">
      <c r="A6" s="3">
        <v>31</v>
      </c>
      <c r="B6" s="5">
        <v>46062.57440972222</v>
      </c>
      <c r="C6" s="3">
        <f t="shared" si="0"/>
        <v>13</v>
      </c>
    </row>
    <row r="7" spans="1:3" x14ac:dyDescent="0.25">
      <c r="A7" s="3">
        <v>31</v>
      </c>
      <c r="B7" s="5">
        <v>46062.590833333335</v>
      </c>
      <c r="C7" s="6">
        <f t="shared" ref="C7:C38" si="1">HOUR(B7)</f>
        <v>14</v>
      </c>
    </row>
    <row r="8" spans="1:3" x14ac:dyDescent="0.25">
      <c r="A8" s="3">
        <v>35</v>
      </c>
      <c r="B8" s="5">
        <v>46062.622731481482</v>
      </c>
      <c r="C8" s="6">
        <f t="shared" si="1"/>
        <v>14</v>
      </c>
    </row>
    <row r="9" spans="1:3" x14ac:dyDescent="0.25">
      <c r="A9" s="3">
        <v>32</v>
      </c>
      <c r="B9" s="5">
        <v>46062.630486111113</v>
      </c>
      <c r="C9" s="6">
        <f t="shared" si="1"/>
        <v>15</v>
      </c>
    </row>
    <row r="10" spans="1:3" x14ac:dyDescent="0.25">
      <c r="A10" s="3">
        <v>33</v>
      </c>
      <c r="B10" s="5">
        <v>46062.630543981482</v>
      </c>
      <c r="C10" s="6">
        <f t="shared" si="1"/>
        <v>15</v>
      </c>
    </row>
    <row r="11" spans="1:3" x14ac:dyDescent="0.25">
      <c r="A11" s="3">
        <v>45</v>
      </c>
      <c r="B11" s="5">
        <v>46062.630613425928</v>
      </c>
      <c r="C11" s="6">
        <f t="shared" si="1"/>
        <v>15</v>
      </c>
    </row>
    <row r="12" spans="1:3" x14ac:dyDescent="0.25">
      <c r="A12" s="3">
        <v>31</v>
      </c>
      <c r="B12" s="5">
        <v>46062.648680555554</v>
      </c>
      <c r="C12" s="6">
        <f t="shared" si="1"/>
        <v>15</v>
      </c>
    </row>
    <row r="13" spans="1:3" x14ac:dyDescent="0.25">
      <c r="A13" s="3">
        <v>40</v>
      </c>
      <c r="B13" s="5">
        <v>46062.649236111109</v>
      </c>
      <c r="C13" s="6">
        <f t="shared" si="1"/>
        <v>15</v>
      </c>
    </row>
    <row r="14" spans="1:3" x14ac:dyDescent="0.25">
      <c r="A14" s="3">
        <v>41</v>
      </c>
      <c r="B14" s="5">
        <v>46062.649363425924</v>
      </c>
      <c r="C14" s="6">
        <f t="shared" si="1"/>
        <v>15</v>
      </c>
    </row>
    <row r="15" spans="1:3" x14ac:dyDescent="0.25">
      <c r="A15" s="3">
        <v>42</v>
      </c>
      <c r="B15" s="5">
        <v>46062.649606481478</v>
      </c>
      <c r="C15" s="6">
        <f t="shared" si="1"/>
        <v>15</v>
      </c>
    </row>
    <row r="16" spans="1:3" x14ac:dyDescent="0.25">
      <c r="A16" s="3">
        <v>38</v>
      </c>
      <c r="B16" s="5">
        <v>46062.649733796294</v>
      </c>
      <c r="C16" s="6">
        <f t="shared" si="1"/>
        <v>15</v>
      </c>
    </row>
    <row r="17" spans="1:3" x14ac:dyDescent="0.25">
      <c r="A17" s="3">
        <v>34</v>
      </c>
      <c r="B17" s="5">
        <v>46062.650949074072</v>
      </c>
      <c r="C17" s="6">
        <f t="shared" si="1"/>
        <v>15</v>
      </c>
    </row>
    <row r="18" spans="1:3" x14ac:dyDescent="0.25">
      <c r="A18" s="3">
        <v>39</v>
      </c>
      <c r="B18" s="5">
        <v>46062.651087962964</v>
      </c>
      <c r="C18" s="6">
        <f t="shared" si="1"/>
        <v>15</v>
      </c>
    </row>
    <row r="19" spans="1:3" x14ac:dyDescent="0.25">
      <c r="A19" s="3">
        <v>37</v>
      </c>
      <c r="B19" s="5">
        <v>46062.65116898148</v>
      </c>
      <c r="C19" s="6">
        <f t="shared" si="1"/>
        <v>15</v>
      </c>
    </row>
    <row r="20" spans="1:3" x14ac:dyDescent="0.25">
      <c r="A20" s="3">
        <v>43</v>
      </c>
      <c r="B20" s="5">
        <v>46062.651226851849</v>
      </c>
      <c r="C20" s="6">
        <f t="shared" si="1"/>
        <v>15</v>
      </c>
    </row>
    <row r="21" spans="1:3" x14ac:dyDescent="0.25">
      <c r="A21" s="3">
        <v>36</v>
      </c>
      <c r="B21" s="5">
        <v>46062.651296296295</v>
      </c>
      <c r="C21" s="6">
        <f t="shared" si="1"/>
        <v>15</v>
      </c>
    </row>
    <row r="22" spans="1:3" x14ac:dyDescent="0.25">
      <c r="A22" s="3">
        <v>30</v>
      </c>
      <c r="B22" s="5">
        <v>46062.651435185187</v>
      </c>
      <c r="C22" s="6">
        <f t="shared" si="1"/>
        <v>15</v>
      </c>
    </row>
    <row r="23" spans="1:3" x14ac:dyDescent="0.25">
      <c r="A23" s="3">
        <v>4</v>
      </c>
      <c r="B23" s="5">
        <v>46062.651504629626</v>
      </c>
      <c r="C23" s="6">
        <f t="shared" si="1"/>
        <v>15</v>
      </c>
    </row>
    <row r="24" spans="1:3" x14ac:dyDescent="0.25">
      <c r="A24" s="3">
        <v>44</v>
      </c>
      <c r="B24" s="5">
        <v>46062.651608796295</v>
      </c>
      <c r="C24" s="6">
        <f t="shared" si="1"/>
        <v>15</v>
      </c>
    </row>
    <row r="25" spans="1:3" x14ac:dyDescent="0.25">
      <c r="A25" s="3">
        <v>44</v>
      </c>
      <c r="B25" s="5">
        <v>46062.651701388888</v>
      </c>
      <c r="C25" s="6">
        <f t="shared" si="1"/>
        <v>15</v>
      </c>
    </row>
    <row r="26" spans="1:3" x14ac:dyDescent="0.25">
      <c r="A26" s="3">
        <v>7</v>
      </c>
      <c r="B26" s="5">
        <v>46062.651736111111</v>
      </c>
      <c r="C26" s="6">
        <f t="shared" si="1"/>
        <v>15</v>
      </c>
    </row>
    <row r="27" spans="1:3" x14ac:dyDescent="0.25">
      <c r="A27" s="3" t="s">
        <v>21</v>
      </c>
      <c r="B27" s="5">
        <v>46062.652187500003</v>
      </c>
      <c r="C27" s="6">
        <f t="shared" si="1"/>
        <v>15</v>
      </c>
    </row>
    <row r="28" spans="1:3" x14ac:dyDescent="0.25">
      <c r="A28" s="3">
        <v>0</v>
      </c>
      <c r="B28" s="5">
        <v>46062.652268518519</v>
      </c>
      <c r="C28" s="6">
        <f t="shared" si="1"/>
        <v>15</v>
      </c>
    </row>
    <row r="29" spans="1:3" x14ac:dyDescent="0.25">
      <c r="A29" s="3">
        <v>8</v>
      </c>
      <c r="B29" s="5">
        <v>46062.652314814812</v>
      </c>
      <c r="C29" s="6">
        <f t="shared" si="1"/>
        <v>15</v>
      </c>
    </row>
    <row r="30" spans="1:3" x14ac:dyDescent="0.25">
      <c r="A30" s="3">
        <v>35</v>
      </c>
      <c r="B30" s="5">
        <v>46062.674571759257</v>
      </c>
      <c r="C30" s="6">
        <f t="shared" si="1"/>
        <v>16</v>
      </c>
    </row>
    <row r="31" spans="1:3" x14ac:dyDescent="0.25">
      <c r="A31" s="3">
        <v>35</v>
      </c>
      <c r="B31" s="5">
        <v>46062.675081018519</v>
      </c>
      <c r="C31" s="6">
        <f t="shared" si="1"/>
        <v>16</v>
      </c>
    </row>
    <row r="32" spans="1:3" x14ac:dyDescent="0.25">
      <c r="A32" s="3">
        <v>35</v>
      </c>
      <c r="B32" s="5">
        <v>46062.675127314818</v>
      </c>
      <c r="C32" s="6">
        <f t="shared" si="1"/>
        <v>16</v>
      </c>
    </row>
    <row r="33" spans="1:3" x14ac:dyDescent="0.25">
      <c r="A33" s="3">
        <v>35</v>
      </c>
      <c r="B33" s="5">
        <v>46062.677141203705</v>
      </c>
      <c r="C33" s="6">
        <f t="shared" si="1"/>
        <v>16</v>
      </c>
    </row>
    <row r="34" spans="1:3" x14ac:dyDescent="0.25">
      <c r="A34" s="3">
        <v>31</v>
      </c>
      <c r="B34" s="5">
        <v>46062.677187499998</v>
      </c>
      <c r="C34" s="6">
        <f t="shared" si="1"/>
        <v>16</v>
      </c>
    </row>
    <row r="35" spans="1:3" x14ac:dyDescent="0.25">
      <c r="A35" s="3">
        <v>38</v>
      </c>
      <c r="B35" s="5">
        <v>46062.677337962959</v>
      </c>
      <c r="C35" s="6">
        <f t="shared" si="1"/>
        <v>16</v>
      </c>
    </row>
    <row r="36" spans="1:3" x14ac:dyDescent="0.25">
      <c r="A36" s="3">
        <v>9</v>
      </c>
      <c r="B36" s="5">
        <v>46062.680775462963</v>
      </c>
      <c r="C36" s="6">
        <f t="shared" si="1"/>
        <v>16</v>
      </c>
    </row>
    <row r="37" spans="1:3" x14ac:dyDescent="0.25">
      <c r="A37" s="3">
        <v>63</v>
      </c>
      <c r="B37" s="5">
        <v>46062.680844907409</v>
      </c>
      <c r="C37" s="6">
        <f t="shared" si="1"/>
        <v>16</v>
      </c>
    </row>
    <row r="38" spans="1:3" x14ac:dyDescent="0.25">
      <c r="A38" s="3">
        <v>25</v>
      </c>
      <c r="B38" s="5">
        <v>46062.680902777778</v>
      </c>
      <c r="C38" s="6">
        <f t="shared" si="1"/>
        <v>16</v>
      </c>
    </row>
    <row r="39" spans="1:3" x14ac:dyDescent="0.25">
      <c r="A39" s="3">
        <v>42</v>
      </c>
      <c r="B39" s="5">
        <v>46062.68105324074</v>
      </c>
      <c r="C39" s="6">
        <f t="shared" ref="C39:C70" si="2">HOUR(B39)</f>
        <v>16</v>
      </c>
    </row>
    <row r="40" spans="1:3" x14ac:dyDescent="0.25">
      <c r="A40" s="3">
        <v>42</v>
      </c>
      <c r="B40" s="5">
        <v>46062.681145833332</v>
      </c>
      <c r="C40" s="6">
        <f t="shared" si="2"/>
        <v>16</v>
      </c>
    </row>
    <row r="41" spans="1:3" x14ac:dyDescent="0.25">
      <c r="A41" s="3">
        <v>31</v>
      </c>
      <c r="B41" s="5">
        <v>46062.681331018517</v>
      </c>
      <c r="C41" s="6">
        <f t="shared" si="2"/>
        <v>16</v>
      </c>
    </row>
    <row r="42" spans="1:3" x14ac:dyDescent="0.25">
      <c r="A42" s="3">
        <v>31</v>
      </c>
      <c r="B42" s="5">
        <v>46062.68136574074</v>
      </c>
      <c r="C42" s="6">
        <f t="shared" si="2"/>
        <v>16</v>
      </c>
    </row>
    <row r="43" spans="1:3" x14ac:dyDescent="0.25">
      <c r="A43" s="3">
        <v>31</v>
      </c>
      <c r="B43" s="5">
        <v>46062.681400462963</v>
      </c>
      <c r="C43" s="6">
        <f t="shared" si="2"/>
        <v>16</v>
      </c>
    </row>
    <row r="44" spans="1:3" x14ac:dyDescent="0.25">
      <c r="A44" s="3">
        <v>31</v>
      </c>
      <c r="B44" s="5">
        <v>46062.681458333333</v>
      </c>
      <c r="C44" s="6">
        <f t="shared" si="2"/>
        <v>16</v>
      </c>
    </row>
    <row r="45" spans="1:3" x14ac:dyDescent="0.25">
      <c r="A45" s="3">
        <v>31</v>
      </c>
      <c r="B45" s="5">
        <v>46062.681516203702</v>
      </c>
      <c r="C45" s="6">
        <f t="shared" si="2"/>
        <v>16</v>
      </c>
    </row>
    <row r="46" spans="1:3" x14ac:dyDescent="0.25">
      <c r="A46" s="3">
        <v>32</v>
      </c>
      <c r="B46" s="5">
        <v>46062.681585648148</v>
      </c>
      <c r="C46" s="6">
        <f t="shared" si="2"/>
        <v>16</v>
      </c>
    </row>
    <row r="47" spans="1:3" x14ac:dyDescent="0.25">
      <c r="A47" s="3">
        <v>42</v>
      </c>
      <c r="B47" s="5">
        <v>46062.681956018518</v>
      </c>
      <c r="C47" s="6">
        <f t="shared" si="2"/>
        <v>16</v>
      </c>
    </row>
    <row r="48" spans="1:3" x14ac:dyDescent="0.25">
      <c r="A48" s="3">
        <v>44</v>
      </c>
      <c r="B48" s="5">
        <v>46062.682071759256</v>
      </c>
      <c r="C48" s="6">
        <f t="shared" si="2"/>
        <v>16</v>
      </c>
    </row>
    <row r="49" spans="1:3" x14ac:dyDescent="0.25">
      <c r="A49" s="3">
        <v>4</v>
      </c>
      <c r="B49" s="5">
        <v>46062.682129629633</v>
      </c>
      <c r="C49" s="6">
        <f t="shared" si="2"/>
        <v>16</v>
      </c>
    </row>
    <row r="50" spans="1:3" x14ac:dyDescent="0.25">
      <c r="A50" s="3">
        <v>44</v>
      </c>
      <c r="B50" s="5">
        <v>46062.682164351849</v>
      </c>
      <c r="C50" s="6">
        <f t="shared" si="2"/>
        <v>16</v>
      </c>
    </row>
    <row r="51" spans="1:3" x14ac:dyDescent="0.25">
      <c r="A51" s="3">
        <v>44</v>
      </c>
      <c r="B51" s="5">
        <v>46062.682245370372</v>
      </c>
      <c r="C51" s="6">
        <f t="shared" si="2"/>
        <v>16</v>
      </c>
    </row>
    <row r="52" spans="1:3" x14ac:dyDescent="0.25">
      <c r="A52" s="3">
        <v>44</v>
      </c>
      <c r="B52" s="5">
        <v>46062.682303240741</v>
      </c>
      <c r="C52" s="6">
        <f t="shared" si="2"/>
        <v>16</v>
      </c>
    </row>
    <row r="53" spans="1:3" x14ac:dyDescent="0.25">
      <c r="A53" s="3">
        <v>35</v>
      </c>
      <c r="B53" s="5">
        <v>46062.68236111111</v>
      </c>
      <c r="C53" s="6">
        <f t="shared" si="2"/>
        <v>16</v>
      </c>
    </row>
    <row r="54" spans="1:3" x14ac:dyDescent="0.25">
      <c r="A54" s="3">
        <v>35</v>
      </c>
      <c r="B54" s="5">
        <v>46062.682395833333</v>
      </c>
      <c r="C54" s="6">
        <f t="shared" si="2"/>
        <v>16</v>
      </c>
    </row>
    <row r="55" spans="1:3" x14ac:dyDescent="0.25">
      <c r="A55" s="3">
        <v>35</v>
      </c>
      <c r="B55" s="5">
        <v>46062.682453703703</v>
      </c>
      <c r="C55" s="6">
        <f t="shared" si="2"/>
        <v>16</v>
      </c>
    </row>
    <row r="56" spans="1:3" x14ac:dyDescent="0.25">
      <c r="A56" s="3">
        <v>45</v>
      </c>
      <c r="B56" s="5">
        <v>46062.682557870372</v>
      </c>
      <c r="C56" s="6">
        <f t="shared" si="2"/>
        <v>16</v>
      </c>
    </row>
    <row r="57" spans="1:3" x14ac:dyDescent="0.25">
      <c r="A57" s="3">
        <v>41</v>
      </c>
      <c r="B57" s="5">
        <v>46062.682650462964</v>
      </c>
      <c r="C57" s="6">
        <f t="shared" si="2"/>
        <v>16</v>
      </c>
    </row>
    <row r="58" spans="1:3" x14ac:dyDescent="0.25">
      <c r="A58" s="3">
        <v>31</v>
      </c>
      <c r="B58" s="5">
        <v>46062.699791666666</v>
      </c>
      <c r="C58" s="6">
        <f>HOUR(B58)</f>
        <v>16</v>
      </c>
    </row>
    <row r="59" spans="1:3" x14ac:dyDescent="0.25">
      <c r="A59" s="3">
        <v>38</v>
      </c>
      <c r="B59" s="5">
        <v>46062.726064814815</v>
      </c>
      <c r="C59" s="6">
        <f>HOUR(B59)</f>
        <v>17</v>
      </c>
    </row>
    <row r="60" spans="1:3" x14ac:dyDescent="0.25">
      <c r="A60" s="3">
        <v>38</v>
      </c>
      <c r="B60" s="5">
        <v>46062.726817129631</v>
      </c>
      <c r="C60" s="6">
        <f>HOUR(B60)</f>
        <v>17</v>
      </c>
    </row>
    <row r="61" spans="1:3" x14ac:dyDescent="0.25">
      <c r="A61" s="3">
        <v>31</v>
      </c>
      <c r="B61" s="5">
        <v>46062.742256944446</v>
      </c>
      <c r="C61" s="6">
        <f>HOUR(B61)</f>
        <v>17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Candidatos</vt:lpstr>
      <vt:lpstr>Planilha5</vt:lpstr>
      <vt:lpstr>Votos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Darlan Monteiro</dc:creator>
  <cp:lastModifiedBy>DARLAN DOS SANTOS MONTEIRO</cp:lastModifiedBy>
  <dcterms:created xsi:type="dcterms:W3CDTF">2024-02-07T18:41:22Z</dcterms:created>
  <dcterms:modified xsi:type="dcterms:W3CDTF">2026-02-09T20:49:00Z</dcterms:modified>
</cp:coreProperties>
</file>